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<sst xmlns="http://schemas.openxmlformats.org/spreadsheetml/2006/main" count="43" uniqueCount="43">
  <si>
    <t>experiment</t>
  </si>
  <si>
    <t>description</t>
  </si>
  <si>
    <t>interval (4ms)</t>
  </si>
  <si>
    <t>number of samples</t>
  </si>
  <si>
    <t>Power avg (mW)</t>
  </si>
  <si>
    <t>Current (mA)</t>
  </si>
  <si>
    <t>max power (mW)</t>
  </si>
  <si>
    <t>max current (mA)</t>
  </si>
  <si>
    <t>voltage (v)</t>
  </si>
  <si>
    <t>Nosoftdevice</t>
  </si>
  <si>
    <t>no soft device</t>
  </si>
  <si>
    <t>NosoftdeviceIMU</t>
  </si>
  <si>
    <t>no soft device 1 imu (40mW)</t>
  </si>
  <si>
    <t>Nosoftdevice2IMU</t>
  </si>
  <si>
    <t>no soft device 2 imu</t>
  </si>
  <si>
    <t>softdevice</t>
  </si>
  <si>
    <t>soft device no imu</t>
  </si>
  <si>
    <t>softdeviceimu</t>
  </si>
  <si>
    <t>softdevie imu</t>
  </si>
  <si>
    <t>softdevice2imu</t>
  </si>
  <si>
    <t>soft device 2 imu</t>
  </si>
  <si>
    <t>noimunoadc</t>
  </si>
  <si>
    <t>process no imu no adc ble</t>
  </si>
  <si>
    <t>adc</t>
  </si>
  <si>
    <t>just adc in the middle service gets activated</t>
  </si>
  <si>
    <t>full42</t>
  </si>
  <si>
    <t>everything in place with no led with vcc= 4.2</t>
  </si>
  <si>
    <t>full42led</t>
  </si>
  <si>
    <t>everything in place with vcc= 4.2</t>
  </si>
  <si>
    <t>full39led</t>
  </si>
  <si>
    <t>everything in place with vcc= 3.9</t>
  </si>
  <si>
    <t>full38led</t>
  </si>
  <si>
    <t>everything in place with vcc= 3.8</t>
  </si>
  <si>
    <t>full36led</t>
  </si>
  <si>
    <t>everything in place with vcc= 3.6</t>
  </si>
  <si>
    <t>full35led</t>
  </si>
  <si>
    <t>everything in place with vcc= 3.5</t>
  </si>
  <si>
    <t>full34led</t>
  </si>
  <si>
    <t>everything in place with vcc= 3.4</t>
  </si>
  <si>
    <t>full33led</t>
  </si>
  <si>
    <t>everything in place with vcc= 3.3</t>
  </si>
  <si>
    <t>full30led</t>
  </si>
  <si>
    <t>everything in place with vcc=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</si>
</sst>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43.88"/>
    <col customWidth="1" min="4" max="4" width="18.38"/>
    <col customWidth="1" min="7" max="7" width="13.5"/>
    <col customWidth="1" min="8" max="8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9</v>
      </c>
      <c r="B2" s="3" t="s">
        <v>10</v>
      </c>
      <c r="C2" s="3">
        <v>4.0</v>
      </c>
      <c r="D2" s="3">
        <v>100000.0</v>
      </c>
      <c r="E2" s="3">
        <f t="shared" ref="E2:E16" si="2">F2*I2</f>
        <v>35.7</v>
      </c>
      <c r="F2" s="2">
        <f>35.7/4.2</f>
        <v>8.5</v>
      </c>
      <c r="G2" s="2">
        <f t="shared" ref="G2:H2" si="1">E2</f>
        <v>35.7</v>
      </c>
      <c r="H2" s="2">
        <f t="shared" si="1"/>
        <v>8.5</v>
      </c>
      <c r="I2" s="3">
        <v>4.2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11</v>
      </c>
      <c r="B3" s="3" t="s">
        <v>12</v>
      </c>
      <c r="C3" s="3">
        <v>4.0</v>
      </c>
      <c r="D3" s="3">
        <v>100000.0</v>
      </c>
      <c r="E3" s="3">
        <f t="shared" si="2"/>
        <v>75.6</v>
      </c>
      <c r="F3" s="3">
        <f>75.6/4.2</f>
        <v>18</v>
      </c>
      <c r="G3" s="2">
        <f t="shared" ref="G3:H3" si="3">E3</f>
        <v>75.6</v>
      </c>
      <c r="H3" s="2">
        <f t="shared" si="3"/>
        <v>18</v>
      </c>
      <c r="I3" s="3">
        <v>4.2</v>
      </c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13</v>
      </c>
      <c r="B4" s="3" t="s">
        <v>14</v>
      </c>
      <c r="C4" s="3">
        <v>4.0</v>
      </c>
      <c r="D4" s="3">
        <v>100000.0</v>
      </c>
      <c r="E4" s="3">
        <f t="shared" si="2"/>
        <v>113.4</v>
      </c>
      <c r="F4" s="3">
        <f>113.4/4.2</f>
        <v>27</v>
      </c>
      <c r="G4" s="2">
        <f t="shared" ref="G4:H4" si="4">E4</f>
        <v>113.4</v>
      </c>
      <c r="H4" s="2">
        <f t="shared" si="4"/>
        <v>27</v>
      </c>
      <c r="I4" s="3">
        <v>4.2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15</v>
      </c>
      <c r="B5" s="3" t="s">
        <v>16</v>
      </c>
      <c r="C5" s="3">
        <v>4.0</v>
      </c>
      <c r="D5" s="3">
        <v>100000.0</v>
      </c>
      <c r="E5" s="3">
        <f t="shared" si="2"/>
        <v>35.7</v>
      </c>
      <c r="F5" s="3">
        <v>8.5</v>
      </c>
      <c r="G5" s="2">
        <f t="shared" ref="G5:H5" si="5">E5</f>
        <v>35.7</v>
      </c>
      <c r="H5" s="2">
        <f t="shared" si="5"/>
        <v>8.5</v>
      </c>
      <c r="I5" s="3">
        <v>4.2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 t="s">
        <v>17</v>
      </c>
      <c r="B6" s="3" t="s">
        <v>18</v>
      </c>
      <c r="C6" s="3">
        <v>4.0</v>
      </c>
      <c r="D6" s="3">
        <v>100000.0</v>
      </c>
      <c r="E6" s="3">
        <f t="shared" si="2"/>
        <v>75.6</v>
      </c>
      <c r="F6" s="3">
        <v>18.0</v>
      </c>
      <c r="G6" s="2">
        <f t="shared" ref="G6:H6" si="6">E6</f>
        <v>75.6</v>
      </c>
      <c r="H6" s="2">
        <f t="shared" si="6"/>
        <v>18</v>
      </c>
      <c r="I6" s="3">
        <v>4.2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 t="s">
        <v>19</v>
      </c>
      <c r="B7" s="3" t="s">
        <v>20</v>
      </c>
      <c r="C7" s="3">
        <v>4.0</v>
      </c>
      <c r="D7" s="3">
        <v>100000.0</v>
      </c>
      <c r="E7" s="3">
        <f t="shared" si="2"/>
        <v>113.4</v>
      </c>
      <c r="F7" s="3">
        <v>27.0</v>
      </c>
      <c r="G7" s="2">
        <f t="shared" ref="G7:H7" si="7">E7</f>
        <v>113.4</v>
      </c>
      <c r="H7" s="2">
        <f t="shared" si="7"/>
        <v>27</v>
      </c>
      <c r="I7" s="3">
        <v>4.2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 t="s">
        <v>21</v>
      </c>
      <c r="B8" s="3" t="s">
        <v>22</v>
      </c>
      <c r="C8" s="3">
        <v>4.0</v>
      </c>
      <c r="D8" s="3">
        <v>20000.0</v>
      </c>
      <c r="E8" s="3">
        <f t="shared" si="2"/>
        <v>42</v>
      </c>
      <c r="F8" s="3">
        <v>10.0</v>
      </c>
      <c r="G8" s="2">
        <f t="shared" ref="G8:H8" si="8">E8</f>
        <v>42</v>
      </c>
      <c r="H8" s="2">
        <f t="shared" si="8"/>
        <v>10</v>
      </c>
      <c r="I8" s="3">
        <v>4.2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23</v>
      </c>
      <c r="B9" s="3" t="s">
        <v>24</v>
      </c>
      <c r="C9" s="3">
        <v>4.0</v>
      </c>
      <c r="D9" s="3">
        <v>10000.0</v>
      </c>
      <c r="E9" s="3">
        <f t="shared" si="2"/>
        <v>42</v>
      </c>
      <c r="F9" s="3">
        <v>10.0</v>
      </c>
      <c r="G9" s="2">
        <f t="shared" ref="G9:H9" si="9">E9</f>
        <v>42</v>
      </c>
      <c r="H9" s="2">
        <f t="shared" si="9"/>
        <v>10</v>
      </c>
      <c r="I9" s="3">
        <v>4.2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25</v>
      </c>
      <c r="B10" s="3" t="s">
        <v>26</v>
      </c>
      <c r="C10" s="3">
        <v>4.0</v>
      </c>
      <c r="D10" s="3">
        <v>20000.0</v>
      </c>
      <c r="E10" s="3">
        <f t="shared" si="2"/>
        <v>0</v>
      </c>
      <c r="F10" s="2"/>
      <c r="G10" s="2">
        <f t="shared" ref="G10:G18" si="10">H10*I10</f>
        <v>0</v>
      </c>
      <c r="H10" s="2"/>
      <c r="I10" s="3">
        <v>4.2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27</v>
      </c>
      <c r="B11" s="3" t="s">
        <v>28</v>
      </c>
      <c r="C11" s="3">
        <v>4.0</v>
      </c>
      <c r="D11" s="3">
        <v>10000.0</v>
      </c>
      <c r="E11" s="3">
        <f t="shared" si="2"/>
        <v>168</v>
      </c>
      <c r="F11" s="3">
        <v>40.0</v>
      </c>
      <c r="G11" s="2">
        <f t="shared" si="10"/>
        <v>210</v>
      </c>
      <c r="H11" s="3">
        <v>50.0</v>
      </c>
      <c r="I11" s="3">
        <v>4.2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29</v>
      </c>
      <c r="B12" s="3" t="s">
        <v>30</v>
      </c>
      <c r="C12" s="3">
        <v>4.0</v>
      </c>
      <c r="D12" s="3">
        <v>10000.0</v>
      </c>
      <c r="E12" s="3">
        <f t="shared" si="2"/>
        <v>156</v>
      </c>
      <c r="F12" s="3">
        <v>40.0</v>
      </c>
      <c r="G12" s="2">
        <f t="shared" si="10"/>
        <v>222.3</v>
      </c>
      <c r="H12" s="3">
        <v>57.0</v>
      </c>
      <c r="I12" s="3">
        <v>3.9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 t="s">
        <v>31</v>
      </c>
      <c r="B13" s="3" t="s">
        <v>32</v>
      </c>
      <c r="C13" s="3">
        <v>4.0</v>
      </c>
      <c r="D13" s="3">
        <v>10000.0</v>
      </c>
      <c r="E13" s="3">
        <f t="shared" si="2"/>
        <v>152</v>
      </c>
      <c r="F13" s="3">
        <v>40.0</v>
      </c>
      <c r="G13" s="2">
        <f t="shared" si="10"/>
        <v>216.6</v>
      </c>
      <c r="H13" s="3">
        <v>57.0</v>
      </c>
      <c r="I13" s="3">
        <v>3.8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 t="s">
        <v>33</v>
      </c>
      <c r="B14" s="3" t="s">
        <v>34</v>
      </c>
      <c r="C14" s="3">
        <v>4.0</v>
      </c>
      <c r="D14" s="3">
        <v>10000.0</v>
      </c>
      <c r="E14" s="3">
        <f t="shared" si="2"/>
        <v>140</v>
      </c>
      <c r="F14" s="3">
        <v>40.0</v>
      </c>
      <c r="G14" s="2">
        <f t="shared" si="10"/>
        <v>199.5</v>
      </c>
      <c r="H14" s="3">
        <v>57.0</v>
      </c>
      <c r="I14" s="3">
        <v>3.5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 t="s">
        <v>35</v>
      </c>
      <c r="B15" s="3" t="s">
        <v>36</v>
      </c>
      <c r="C15" s="3">
        <v>4.0</v>
      </c>
      <c r="D15" s="3">
        <v>10000.0</v>
      </c>
      <c r="E15" s="3">
        <f t="shared" si="2"/>
        <v>152</v>
      </c>
      <c r="F15" s="3">
        <v>40.0</v>
      </c>
      <c r="G15" s="2">
        <f t="shared" si="10"/>
        <v>193.8</v>
      </c>
      <c r="H15" s="3">
        <v>51.0</v>
      </c>
      <c r="I15" s="3">
        <v>3.8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 t="s">
        <v>37</v>
      </c>
      <c r="B16" s="3" t="s">
        <v>38</v>
      </c>
      <c r="C16" s="3">
        <v>4.0</v>
      </c>
      <c r="D16" s="3">
        <v>10000.0</v>
      </c>
      <c r="E16" s="3">
        <f t="shared" si="2"/>
        <v>136</v>
      </c>
      <c r="F16" s="3">
        <v>40.0</v>
      </c>
      <c r="G16" s="2">
        <f t="shared" si="10"/>
        <v>173.4</v>
      </c>
      <c r="H16" s="3">
        <v>51.0</v>
      </c>
      <c r="I16" s="3">
        <v>3.4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 t="s">
        <v>39</v>
      </c>
      <c r="B17" s="3" t="s">
        <v>40</v>
      </c>
      <c r="C17" s="3">
        <v>4.0</v>
      </c>
      <c r="D17" s="3">
        <v>10000.0</v>
      </c>
      <c r="E17" s="3">
        <f t="shared" ref="E17:E18" si="11">F16*I16</f>
        <v>136</v>
      </c>
      <c r="F17" s="3">
        <v>70.0</v>
      </c>
      <c r="G17" s="2">
        <f t="shared" si="10"/>
        <v>257.4</v>
      </c>
      <c r="H17" s="3">
        <v>78.0</v>
      </c>
      <c r="I17" s="3">
        <v>3.3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 t="s">
        <v>41</v>
      </c>
      <c r="B18" s="3" t="s">
        <v>42</v>
      </c>
      <c r="C18" s="3">
        <v>4.0</v>
      </c>
      <c r="D18" s="3">
        <v>10000.0</v>
      </c>
      <c r="E18" s="3">
        <f t="shared" si="11"/>
        <v>231</v>
      </c>
      <c r="F18" s="3">
        <v>70.0</v>
      </c>
      <c r="G18" s="2">
        <f t="shared" si="10"/>
        <v>234</v>
      </c>
      <c r="H18" s="3">
        <v>78.0</v>
      </c>
      <c r="I18" s="3">
        <v>3.0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/>
      <c r="B19" s="2"/>
      <c r="C19" s="2"/>
      <c r="D19" s="2"/>
      <c r="E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drawing r:id="rId1"/>
</worksheet>
</file>